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Prices" sheetId="1" state="visible" r:id="rId3"/>
    <sheet name="Format Specs" sheetId="2" state="visible" r:id="rId4"/>
    <sheet name="Cost Model" sheetId="3" state="visible" r:id="rId5"/>
    <sheet name="Monthly Plans" sheetId="4" state="visible" r:id="rId6"/>
    <sheet name="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<sst xmlns="http://schemas.openxmlformats.org/spreadsheetml/2006/main" count="157" uniqueCount="136">
  <si>
    <t xml:space="preserve">OPAIJA Production - Unit Prices</t>
  </si>
  <si>
    <t xml:space="preserve">All inputs in BLUE - change to model alternative scenarios</t>
  </si>
  <si>
    <t xml:space="preserve">Pricing as of mid-2025 - VERIFY before scaling</t>
  </si>
  <si>
    <t xml:space="preserve">Item</t>
  </si>
  <si>
    <t xml:space="preserve">Unit</t>
  </si>
  <si>
    <t xml:space="preserve">Price ($)</t>
  </si>
  <si>
    <t xml:space="preserve">Notes</t>
  </si>
  <si>
    <t xml:space="preserve">Claude Sonnet 4.5 - input</t>
  </si>
  <si>
    <t xml:space="preserve">per 1M tokens</t>
  </si>
  <si>
    <t xml:space="preserve">Anthropic API; primary script brain</t>
  </si>
  <si>
    <t xml:space="preserve">Claude Sonnet 4.5 - output</t>
  </si>
  <si>
    <t xml:space="preserve">Anthropic API</t>
  </si>
  <si>
    <t xml:space="preserve">Claude Haiku 3.5 - input</t>
  </si>
  <si>
    <t xml:space="preserve">Cheap tier (good for QA)</t>
  </si>
  <si>
    <t xml:space="preserve">Claude Haiku 3.5 - output</t>
  </si>
  <si>
    <t xml:space="preserve">Cheap tier</t>
  </si>
  <si>
    <t xml:space="preserve">Claude Opus 4.1 - input</t>
  </si>
  <si>
    <t xml:space="preserve">Premium tier</t>
  </si>
  <si>
    <t xml:space="preserve">Claude Opus 4.1 - output</t>
  </si>
  <si>
    <t xml:space="preserve">OpenAI GPT-4o - input</t>
  </si>
  <si>
    <t xml:space="preserve">Alternative brain</t>
  </si>
  <si>
    <t xml:space="preserve">OpenAI GPT-4o - output</t>
  </si>
  <si>
    <t xml:space="preserve">OpenAI GPT-4o-mini - input</t>
  </si>
  <si>
    <t xml:space="preserve">Cheap alt</t>
  </si>
  <si>
    <t xml:space="preserve">OpenAI GPT-4o-mini - output</t>
  </si>
  <si>
    <t xml:space="preserve">ElevenLabs Multilingual v2</t>
  </si>
  <si>
    <t xml:space="preserve">per 1K chars</t>
  </si>
  <si>
    <t xml:space="preserve">Premium voice (Web-Teller)</t>
  </si>
  <si>
    <t xml:space="preserve">ElevenLabs Flash v2.5</t>
  </si>
  <si>
    <t xml:space="preserve">Faster/cheaper, lower quality</t>
  </si>
  <si>
    <t xml:space="preserve">Seedance 2.0 Pro 1080p</t>
  </si>
  <si>
    <t xml:space="preserve">per 5s clip</t>
  </si>
  <si>
    <t xml:space="preserve">Best quality via fal.ai</t>
  </si>
  <si>
    <t xml:space="preserve">Seedance 2.0 Lite 720p</t>
  </si>
  <si>
    <t xml:space="preserve">Cheap tier via fal.ai</t>
  </si>
  <si>
    <t xml:space="preserve">Veo 3 (Google)</t>
  </si>
  <si>
    <t xml:space="preserve">Alternative (~$0.75/sec)</t>
  </si>
  <si>
    <t xml:space="preserve">Runway Gen-4 Turbo</t>
  </si>
  <si>
    <t xml:space="preserve">Alternative</t>
  </si>
  <si>
    <t xml:space="preserve">Flux Pro image (fal.ai)</t>
  </si>
  <si>
    <t xml:space="preserve">per image</t>
  </si>
  <si>
    <t xml:space="preserve">Character ref images</t>
  </si>
  <si>
    <t xml:space="preserve">DALL-E 3 Standard</t>
  </si>
  <si>
    <t xml:space="preserve">Alt image gen</t>
  </si>
  <si>
    <t xml:space="preserve">Suno music (amortized)</t>
  </si>
  <si>
    <t xml:space="preserve">per min of output</t>
  </si>
  <si>
    <t xml:space="preserve">$10/mo unlimited tier</t>
  </si>
  <si>
    <t xml:space="preserve">Cloudflare R2 storage</t>
  </si>
  <si>
    <t xml:space="preserve">per GB-month</t>
  </si>
  <si>
    <t xml:space="preserve">Negligible at this scale</t>
  </si>
  <si>
    <t xml:space="preserve">Format Specifications - Inputs per Deliverable</t>
  </si>
  <si>
    <t xml:space="preserve">All inputs in BLUE - adjust runtime, rework factor, image count, etc.</t>
  </si>
  <si>
    <t xml:space="preserve">Spec</t>
  </si>
  <si>
    <t xml:space="preserve">Vertical 75s</t>
  </si>
  <si>
    <t xml:space="preserve">30-min Episode</t>
  </si>
  <si>
    <t xml:space="preserve">60-min Movie</t>
  </si>
  <si>
    <t xml:space="preserve">Runtime (seconds)</t>
  </si>
  <si>
    <t xml:space="preserve">Narration words (~140 wpm)</t>
  </si>
  <si>
    <t xml:space="preserve">Narration chars (=words x 5.5)</t>
  </si>
  <si>
    <t xml:space="preserve">Script Claude input tokens</t>
  </si>
  <si>
    <t xml:space="preserve">Script Claude output tokens</t>
  </si>
  <si>
    <t xml:space="preserve">Canon QA Claude input tokens</t>
  </si>
  <si>
    <t xml:space="preserve">Canon QA Claude output tokens</t>
  </si>
  <si>
    <t xml:space="preserve">Video clip length (sec)</t>
  </si>
  <si>
    <t xml:space="preserve">Rework factor (1.5 = 50% extra)</t>
  </si>
  <si>
    <t xml:space="preserve">Raw clips needed (formula)</t>
  </si>
  <si>
    <t xml:space="preserve">Music minutes (formula)</t>
  </si>
  <si>
    <t xml:space="preserve">Storage per deliverable (GB)</t>
  </si>
  <si>
    <t xml:space="preserve">Per-Asset Cost Breakdown</t>
  </si>
  <si>
    <t xml:space="preserve">All cells are formulas pulling from 'Unit Prices' and 'Format Specs' tabs</t>
  </si>
  <si>
    <t xml:space="preserve">Cost Line</t>
  </si>
  <si>
    <t xml:space="preserve">Script generation (Claude Sonnet 4.5)</t>
  </si>
  <si>
    <t xml:space="preserve">Canon QA (Claude Sonnet 4.5)</t>
  </si>
  <si>
    <t xml:space="preserve">Narration (ElevenLabs Multilingual v2)</t>
  </si>
  <si>
    <t xml:space="preserve">Video - Seedance 2.0 Pro (1080p)</t>
  </si>
  <si>
    <t xml:space="preserve">Video - Seedance 2.0 Lite (720p) [alt]</t>
  </si>
  <si>
    <t xml:space="preserve">Character ref images (Flux Pro)</t>
  </si>
  <si>
    <t xml:space="preserve">Music (Suno, amortized)</t>
  </si>
  <si>
    <t xml:space="preserve">Storage (R2, first month)</t>
  </si>
  <si>
    <t xml:space="preserve">TOTAL - Pro tier (1080p)</t>
  </si>
  <si>
    <t xml:space="preserve">TOTAL - Lite tier (720p)</t>
  </si>
  <si>
    <t xml:space="preserve">Cost per second of finished output</t>
  </si>
  <si>
    <t xml:space="preserve">Cost per minute (Pro)</t>
  </si>
  <si>
    <t xml:space="preserve">Monthly Production Cost Scenarios</t>
  </si>
  <si>
    <t xml:space="preserve">Adjust counts in BLUE to model your cadence</t>
  </si>
  <si>
    <t xml:space="preserve">Scenario</t>
  </si>
  <si>
    <t xml:space="preserve">Verticals / mo</t>
  </si>
  <si>
    <t xml:space="preserve">30-min eps / mo</t>
  </si>
  <si>
    <t xml:space="preserve">60-min movies / mo</t>
  </si>
  <si>
    <t xml:space="preserve">Monthly Cost (Pro)</t>
  </si>
  <si>
    <t xml:space="preserve">Monthly Cost (Lite)</t>
  </si>
  <si>
    <t xml:space="preserve">Launch - daily verticals (30/mo)</t>
  </si>
  <si>
    <t xml:space="preserve">Light - weekly verticals</t>
  </si>
  <si>
    <t xml:space="preserve">Series push - 2x 30-min eps</t>
  </si>
  <si>
    <t xml:space="preserve">Feature push - 1 movie</t>
  </si>
  <si>
    <t xml:space="preserve">Hybrid - 30 shorts + 2 eps + 1 movie</t>
  </si>
  <si>
    <t xml:space="preserve">Hyper - 30 shorts + 4 eps</t>
  </si>
  <si>
    <t xml:space="preserve">Custom (edit counts in blue)</t>
  </si>
  <si>
    <t xml:space="preserve">Cost Model - Notes &amp; Caveats</t>
  </si>
  <si>
    <t xml:space="preserve">PRICING ASSUMPTIONS (verify at launch time):</t>
  </si>
  <si>
    <t xml:space="preserve">- Claude/OpenAI rates as of mid-2025. Anthropic and OpenAI both lowered prices in 2024-2025; check current rates.</t>
  </si>
  <si>
    <t xml:space="preserve">- ElevenLabs: Pay-as-you-go rate. Pro subscription ($99/mo for 500K chars + overage at $0.18/1K) is cheaper above ~330K chars/month.</t>
  </si>
  <si>
    <t xml:space="preserve">- Seedance 2.0 via fal.ai: $0.62/5s at 1080p (Pro) or $0.18/5s at 720p (Lite). Confirm exact tier in fal.ai dashboard before scaling.</t>
  </si>
  <si>
    <t xml:space="preserve">- Pricing assumes English narration; multilingual / pro voice cloning may cost more.</t>
  </si>
  <si>
    <t xml:space="preserve">REWORK FACTOR (default 1.5x):</t>
  </si>
  <si>
    <t xml:space="preserve">- Real AI video workflows discard 30-50% of generated clips for quality/consistency.</t>
  </si>
  <si>
    <t xml:space="preserve">- Adjust in 'Format Specs' sheet (row 13).</t>
  </si>
  <si>
    <t xml:space="preserve">- Conservative shops use 2-3x for narrative continuity work.</t>
  </si>
  <si>
    <t xml:space="preserve">WHAT IS NOT INCLUDED IN THESE NUMBERS:</t>
  </si>
  <si>
    <t xml:space="preserve">- Your time / editor time (largest hidden cost).</t>
  </si>
  <si>
    <t xml:space="preserve">- CapCut Pro or similar editor (~$8/mo).</t>
  </si>
  <si>
    <t xml:space="preserve">- Remotion Pro license (free if revenue &lt; $100K).</t>
  </si>
  <si>
    <t xml:space="preserve">- Distribution platforms (YouTube/TikTok/IG are free).</t>
  </si>
  <si>
    <t xml:space="preserve">- Paid ad spend / boost campaigns.</t>
  </si>
  <si>
    <t xml:space="preserve">- Merch fulfillment (Printful, Printify).</t>
  </si>
  <si>
    <t xml:space="preserve">- Email (Resend free tier covers 3K emails/mo).</t>
  </si>
  <si>
    <t xml:space="preserve">- Domain, hosting for marketing site.</t>
  </si>
  <si>
    <t xml:space="preserve">OPTIMIZATIONS YOU CAN MAKE:</t>
  </si>
  <si>
    <t xml:space="preserve">- Use Haiku 3.5 instead of Sonnet 4.5 for Canon QA -&gt; ~75% cheaper Claude calls.</t>
  </si>
  <si>
    <t xml:space="preserve">- ElevenLabs subscription if doing &gt;300K chars/month.</t>
  </si>
  <si>
    <t xml:space="preserve">- Mix Pro/Lite video: Pro for hero shots, Lite for B-roll -&gt; 40-60% savings.</t>
  </si>
  <si>
    <t xml:space="preserve">- Reuse character ref images across episodes -&gt; cuts image cost ~70%.</t>
  </si>
  <si>
    <t xml:space="preserve">- Suno subscription ($30/mo unlimited) instead of per-track licensing.</t>
  </si>
  <si>
    <t xml:space="preserve">- Use Seedance image-to-video with same character ref -&gt; better consistency, less rework.</t>
  </si>
  <si>
    <t xml:space="preserve">QUALITY TRADEOFFS - PRO vs LITE:</t>
  </si>
  <si>
    <t xml:space="preserve">- Lite (720p): acceptable for short verticals on phones; noticeable artifacts on TVs / close-ups.</t>
  </si>
  <si>
    <t xml:space="preserve">- Pro (1080p): needed for 30+ min content, paid ad campaigns, festival submissions, theatrical.</t>
  </si>
  <si>
    <t xml:space="preserve">- For OPAIJA: shorts at Lite is fine, 30-min eps and movie should be Pro.</t>
  </si>
  <si>
    <t xml:space="preserve">FORMAT VS REALITY:</t>
  </si>
  <si>
    <t xml:space="preserve">- A 75-sec vertical short is mostly establishing shots + one fight beat + cliffhanger.</t>
  </si>
  <si>
    <t xml:space="preserve">- A 30-min episode has dialogue scenes, action, reaction shots - more clips of varied difficulty.</t>
  </si>
  <si>
    <t xml:space="preserve">- A 60-min movie has full narrative arc - expect higher rework factor (1.8-2.5x) than these defaults.</t>
  </si>
  <si>
    <t xml:space="preserve">REFERENCE: Cost per minute of finished output (Pro tier, default assumptions):</t>
  </si>
  <si>
    <t xml:space="preserve">- See 'Cost Model' row 18.</t>
  </si>
  <si>
    <t xml:space="preserve">- Verticals are most expensive per minute (high overhead, short runtime).</t>
  </si>
  <si>
    <t xml:space="preserve">- Movies are cheapest per minute (overhead amortized).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</si>
</sst>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#,##0"/>
    <numFmt numFmtId="167" formatCode="0.00"/>
    <numFmt numFmtId="168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5" t="s">
        <v>8</v>
      </c>
      <c r="C6" s="6" t="n">
        <v>3</v>
      </c>
      <c r="D6" s="2" t="s">
        <v>9</v>
      </c>
    </row>
    <row r="7" customFormat="false" ht="15" hidden="false" customHeight="false" outlineLevel="0" collapsed="false">
      <c r="A7" s="5" t="s">
        <v>10</v>
      </c>
      <c r="B7" s="5" t="s">
        <v>8</v>
      </c>
      <c r="C7" s="6" t="n">
        <v>15</v>
      </c>
      <c r="D7" s="2" t="s">
        <v>11</v>
      </c>
    </row>
    <row r="8" customFormat="false" ht="15" hidden="false" customHeight="false" outlineLevel="0" collapsed="false">
      <c r="A8" s="5" t="s">
        <v>12</v>
      </c>
      <c r="B8" s="5" t="s">
        <v>8</v>
      </c>
      <c r="C8" s="6" t="n">
        <v>0.8</v>
      </c>
      <c r="D8" s="2" t="s">
        <v>13</v>
      </c>
    </row>
    <row r="9" customFormat="false" ht="15" hidden="false" customHeight="false" outlineLevel="0" collapsed="false">
      <c r="A9" s="5" t="s">
        <v>14</v>
      </c>
      <c r="B9" s="5" t="s">
        <v>8</v>
      </c>
      <c r="C9" s="6" t="n">
        <v>4</v>
      </c>
      <c r="D9" s="2" t="s">
        <v>15</v>
      </c>
    </row>
    <row r="10" customFormat="false" ht="15" hidden="false" customHeight="false" outlineLevel="0" collapsed="false">
      <c r="A10" s="5" t="s">
        <v>16</v>
      </c>
      <c r="B10" s="5" t="s">
        <v>8</v>
      </c>
      <c r="C10" s="6" t="n">
        <v>15</v>
      </c>
      <c r="D10" s="2" t="s">
        <v>17</v>
      </c>
    </row>
    <row r="11" customFormat="false" ht="15" hidden="false" customHeight="false" outlineLevel="0" collapsed="false">
      <c r="A11" s="5" t="s">
        <v>18</v>
      </c>
      <c r="B11" s="5" t="s">
        <v>8</v>
      </c>
      <c r="C11" s="6" t="n">
        <v>75</v>
      </c>
      <c r="D11" s="2" t="s">
        <v>17</v>
      </c>
    </row>
    <row r="12" customFormat="false" ht="15" hidden="false" customHeight="false" outlineLevel="0" collapsed="false">
      <c r="A12" s="5" t="s">
        <v>19</v>
      </c>
      <c r="B12" s="5" t="s">
        <v>8</v>
      </c>
      <c r="C12" s="6" t="n">
        <v>2.5</v>
      </c>
      <c r="D12" s="2" t="s">
        <v>20</v>
      </c>
    </row>
    <row r="13" customFormat="false" ht="15" hidden="false" customHeight="false" outlineLevel="0" collapsed="false">
      <c r="A13" s="5" t="s">
        <v>21</v>
      </c>
      <c r="B13" s="5" t="s">
        <v>8</v>
      </c>
      <c r="C13" s="6" t="n">
        <v>10</v>
      </c>
      <c r="D13" s="2" t="s">
        <v>20</v>
      </c>
    </row>
    <row r="14" customFormat="false" ht="15" hidden="false" customHeight="false" outlineLevel="0" collapsed="false">
      <c r="A14" s="5" t="s">
        <v>22</v>
      </c>
      <c r="B14" s="5" t="s">
        <v>8</v>
      </c>
      <c r="C14" s="6" t="n">
        <v>0.15</v>
      </c>
      <c r="D14" s="2" t="s">
        <v>23</v>
      </c>
    </row>
    <row r="15" customFormat="false" ht="15" hidden="false" customHeight="false" outlineLevel="0" collapsed="false">
      <c r="A15" s="5" t="s">
        <v>24</v>
      </c>
      <c r="B15" s="5" t="s">
        <v>8</v>
      </c>
      <c r="C15" s="6" t="n">
        <v>0.6</v>
      </c>
      <c r="D15" s="2" t="s">
        <v>23</v>
      </c>
    </row>
    <row r="16" customFormat="false" ht="15" hidden="false" customHeight="false" outlineLevel="0" collapsed="false">
      <c r="A16" s="5" t="s">
        <v>25</v>
      </c>
      <c r="B16" s="5" t="s">
        <v>26</v>
      </c>
      <c r="C16" s="6" t="n">
        <v>0.3</v>
      </c>
      <c r="D16" s="2" t="s">
        <v>27</v>
      </c>
    </row>
    <row r="17" customFormat="false" ht="15" hidden="false" customHeight="false" outlineLevel="0" collapsed="false">
      <c r="A17" s="5" t="s">
        <v>28</v>
      </c>
      <c r="B17" s="5" t="s">
        <v>26</v>
      </c>
      <c r="C17" s="6" t="n">
        <v>0.15</v>
      </c>
      <c r="D17" s="2" t="s">
        <v>29</v>
      </c>
    </row>
    <row r="18" customFormat="false" ht="15" hidden="false" customHeight="false" outlineLevel="0" collapsed="false">
      <c r="A18" s="5" t="s">
        <v>30</v>
      </c>
      <c r="B18" s="5" t="s">
        <v>31</v>
      </c>
      <c r="C18" s="6" t="n">
        <v>0.62</v>
      </c>
      <c r="D18" s="2" t="s">
        <v>32</v>
      </c>
    </row>
    <row r="19" customFormat="false" ht="15" hidden="false" customHeight="false" outlineLevel="0" collapsed="false">
      <c r="A19" s="5" t="s">
        <v>33</v>
      </c>
      <c r="B19" s="5" t="s">
        <v>31</v>
      </c>
      <c r="C19" s="6" t="n">
        <v>0.18</v>
      </c>
      <c r="D19" s="2" t="s">
        <v>34</v>
      </c>
    </row>
    <row r="20" customFormat="false" ht="15" hidden="false" customHeight="false" outlineLevel="0" collapsed="false">
      <c r="A20" s="5" t="s">
        <v>35</v>
      </c>
      <c r="B20" s="5" t="s">
        <v>31</v>
      </c>
      <c r="C20" s="6" t="n">
        <v>3.75</v>
      </c>
      <c r="D20" s="2" t="s">
        <v>36</v>
      </c>
    </row>
    <row r="21" customFormat="false" ht="15" hidden="false" customHeight="false" outlineLevel="0" collapsed="false">
      <c r="A21" s="5" t="s">
        <v>37</v>
      </c>
      <c r="B21" s="5" t="s">
        <v>31</v>
      </c>
      <c r="C21" s="6" t="n">
        <v>0.25</v>
      </c>
      <c r="D21" s="2" t="s">
        <v>38</v>
      </c>
    </row>
    <row r="22" customFormat="false" ht="15" hidden="false" customHeight="false" outlineLevel="0" collapsed="false">
      <c r="A22" s="5" t="s">
        <v>39</v>
      </c>
      <c r="B22" s="5" t="s">
        <v>40</v>
      </c>
      <c r="C22" s="6" t="n">
        <v>0.05</v>
      </c>
      <c r="D22" s="2" t="s">
        <v>41</v>
      </c>
    </row>
    <row r="23" customFormat="false" ht="15" hidden="false" customHeight="false" outlineLevel="0" collapsed="false">
      <c r="A23" s="5" t="s">
        <v>42</v>
      </c>
      <c r="B23" s="5" t="s">
        <v>40</v>
      </c>
      <c r="C23" s="6" t="n">
        <v>0.04</v>
      </c>
      <c r="D23" s="2" t="s">
        <v>43</v>
      </c>
    </row>
    <row r="24" customFormat="false" ht="15" hidden="false" customHeight="false" outlineLevel="0" collapsed="false">
      <c r="A24" s="5" t="s">
        <v>44</v>
      </c>
      <c r="B24" s="5" t="s">
        <v>45</v>
      </c>
      <c r="C24" s="6" t="n">
        <v>0.1</v>
      </c>
      <c r="D24" s="2" t="s">
        <v>46</v>
      </c>
    </row>
    <row r="25" customFormat="false" ht="15" hidden="false" customHeight="false" outlineLevel="0" collapsed="false">
      <c r="A25" s="5" t="s">
        <v>47</v>
      </c>
      <c r="B25" s="5" t="s">
        <v>48</v>
      </c>
      <c r="C25" s="6" t="n">
        <v>0.015</v>
      </c>
      <c r="D25" s="2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7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15" hidden="false" customHeight="false" outlineLevel="0" collapsed="false">
      <c r="A4" s="4" t="s">
        <v>52</v>
      </c>
      <c r="B4" s="4" t="s">
        <v>53</v>
      </c>
      <c r="C4" s="4" t="s">
        <v>54</v>
      </c>
      <c r="D4" s="4" t="s">
        <v>55</v>
      </c>
    </row>
    <row r="5" customFormat="false" ht="15" hidden="false" customHeight="false" outlineLevel="0" collapsed="false">
      <c r="A5" s="7" t="s">
        <v>56</v>
      </c>
      <c r="B5" s="8" t="n">
        <v>75</v>
      </c>
      <c r="C5" s="8" t="n">
        <v>1800</v>
      </c>
      <c r="D5" s="8" t="n">
        <v>3600</v>
      </c>
    </row>
    <row r="6" customFormat="false" ht="15" hidden="false" customHeight="false" outlineLevel="0" collapsed="false">
      <c r="A6" s="7" t="s">
        <v>57</v>
      </c>
      <c r="B6" s="8" t="n">
        <v>170</v>
      </c>
      <c r="C6" s="8" t="n">
        <v>4200</v>
      </c>
      <c r="D6" s="8" t="n">
        <v>8400</v>
      </c>
    </row>
    <row r="7" customFormat="false" ht="15" hidden="false" customHeight="false" outlineLevel="0" collapsed="false">
      <c r="A7" s="7" t="s">
        <v>58</v>
      </c>
      <c r="B7" s="9" t="n">
        <f aca="false">B6*5.5</f>
        <v>935</v>
      </c>
      <c r="C7" s="9" t="n">
        <f aca="false">C6*5.5</f>
        <v>23100</v>
      </c>
      <c r="D7" s="9" t="n">
        <f aca="false">D6*5.5</f>
        <v>46200</v>
      </c>
    </row>
    <row r="8" customFormat="false" ht="15" hidden="false" customHeight="false" outlineLevel="0" collapsed="false">
      <c r="A8" s="7" t="s">
        <v>59</v>
      </c>
      <c r="B8" s="8" t="n">
        <v>1500</v>
      </c>
      <c r="C8" s="8" t="n">
        <v>5000</v>
      </c>
      <c r="D8" s="8" t="n">
        <v>10000</v>
      </c>
    </row>
    <row r="9" customFormat="false" ht="15" hidden="false" customHeight="false" outlineLevel="0" collapsed="false">
      <c r="A9" s="7" t="s">
        <v>60</v>
      </c>
      <c r="B9" s="8" t="n">
        <v>500</v>
      </c>
      <c r="C9" s="8" t="n">
        <v>3000</v>
      </c>
      <c r="D9" s="8" t="n">
        <v>6000</v>
      </c>
    </row>
    <row r="10" customFormat="false" ht="15" hidden="false" customHeight="false" outlineLevel="0" collapsed="false">
      <c r="A10" s="7" t="s">
        <v>61</v>
      </c>
      <c r="B10" s="8" t="n">
        <v>1000</v>
      </c>
      <c r="C10" s="8" t="n">
        <v>3000</v>
      </c>
      <c r="D10" s="8" t="n">
        <v>5000</v>
      </c>
    </row>
    <row r="11" customFormat="false" ht="15" hidden="false" customHeight="false" outlineLevel="0" collapsed="false">
      <c r="A11" s="7" t="s">
        <v>62</v>
      </c>
      <c r="B11" s="8" t="n">
        <v>200</v>
      </c>
      <c r="C11" s="8" t="n">
        <v>800</v>
      </c>
      <c r="D11" s="8" t="n">
        <v>1500</v>
      </c>
    </row>
    <row r="12" customFormat="false" ht="15" hidden="false" customHeight="false" outlineLevel="0" collapsed="false">
      <c r="A12" s="7" t="s">
        <v>63</v>
      </c>
      <c r="B12" s="8" t="n">
        <v>5</v>
      </c>
      <c r="C12" s="8" t="n">
        <v>5</v>
      </c>
      <c r="D12" s="8" t="n">
        <v>5</v>
      </c>
    </row>
    <row r="13" customFormat="false" ht="15" hidden="false" customHeight="false" outlineLevel="0" collapsed="false">
      <c r="A13" s="7" t="s">
        <v>64</v>
      </c>
      <c r="B13" s="10" t="n">
        <v>1.5</v>
      </c>
      <c r="C13" s="10" t="n">
        <v>1.5</v>
      </c>
      <c r="D13" s="10" t="n">
        <v>1.5</v>
      </c>
    </row>
    <row r="14" customFormat="false" ht="15" hidden="false" customHeight="false" outlineLevel="0" collapsed="false">
      <c r="A14" s="7" t="s">
        <v>65</v>
      </c>
      <c r="B14" s="9" t="n">
        <f aca="false">B5/B12*B13</f>
        <v>22.5</v>
      </c>
      <c r="C14" s="9" t="n">
        <f aca="false">C5/C12*C13</f>
        <v>540</v>
      </c>
      <c r="D14" s="9" t="n">
        <f aca="false">D5/D12*D13</f>
        <v>1080</v>
      </c>
    </row>
    <row r="15" customFormat="false" ht="15" hidden="false" customHeight="false" outlineLevel="0" collapsed="false">
      <c r="A15" s="7" t="s">
        <v>41</v>
      </c>
      <c r="B15" s="8" t="n">
        <v>5</v>
      </c>
      <c r="C15" s="8" t="n">
        <v>20</v>
      </c>
      <c r="D15" s="8" t="n">
        <v>40</v>
      </c>
    </row>
    <row r="16" customFormat="false" ht="15" hidden="false" customHeight="false" outlineLevel="0" collapsed="false">
      <c r="A16" s="7" t="s">
        <v>66</v>
      </c>
      <c r="B16" s="11" t="n">
        <f aca="false">B5/60</f>
        <v>1.25</v>
      </c>
      <c r="C16" s="11" t="n">
        <f aca="false">C5/60</f>
        <v>30</v>
      </c>
      <c r="D16" s="11" t="n">
        <f aca="false">D5/60</f>
        <v>60</v>
      </c>
    </row>
    <row r="17" customFormat="false" ht="15" hidden="false" customHeight="false" outlineLevel="0" collapsed="false">
      <c r="A17" s="7" t="s">
        <v>67</v>
      </c>
      <c r="B17" s="10" t="n">
        <v>0.05</v>
      </c>
      <c r="C17" s="10" t="n">
        <v>0.5</v>
      </c>
      <c r="D17" s="1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4" customFormat="false" ht="15" hidden="false" customHeight="false" outlineLevel="0" collapsed="false">
      <c r="A4" s="4" t="s">
        <v>70</v>
      </c>
      <c r="B4" s="4" t="s">
        <v>53</v>
      </c>
      <c r="C4" s="4" t="s">
        <v>54</v>
      </c>
      <c r="D4" s="4" t="s">
        <v>55</v>
      </c>
    </row>
    <row r="5" customFormat="false" ht="15" hidden="false" customHeight="false" outlineLevel="0" collapsed="false">
      <c r="A5" s="5" t="s">
        <v>71</v>
      </c>
      <c r="B5" s="12" t="n">
        <f aca="false">('Format Specs'!B8/1000000)*'Unit Prices'!$C$6+('Format Specs'!B9/1000000)*'Unit Prices'!$C$7</f>
        <v>0.012</v>
      </c>
      <c r="C5" s="12" t="n">
        <f aca="false">('Format Specs'!C8/1000000)*'Unit Prices'!$C$6+('Format Specs'!C9/1000000)*'Unit Prices'!$C$7</f>
        <v>0.06</v>
      </c>
      <c r="D5" s="12" t="n">
        <f aca="false">('Format Specs'!D8/1000000)*'Unit Prices'!$C$6+('Format Specs'!D9/1000000)*'Unit Prices'!$C$7</f>
        <v>0.12</v>
      </c>
    </row>
    <row r="6" customFormat="false" ht="15" hidden="false" customHeight="false" outlineLevel="0" collapsed="false">
      <c r="A6" s="5" t="s">
        <v>72</v>
      </c>
      <c r="B6" s="12" t="n">
        <f aca="false">('Format Specs'!B10/1000000)*'Unit Prices'!$C$6+('Format Specs'!B11/1000000)*'Unit Prices'!$C$7</f>
        <v>0.006</v>
      </c>
      <c r="C6" s="12" t="n">
        <f aca="false">('Format Specs'!C10/1000000)*'Unit Prices'!$C$6+('Format Specs'!C11/1000000)*'Unit Prices'!$C$7</f>
        <v>0.021</v>
      </c>
      <c r="D6" s="12" t="n">
        <f aca="false">('Format Specs'!D10/1000000)*'Unit Prices'!$C$6+('Format Specs'!D11/1000000)*'Unit Prices'!$C$7</f>
        <v>0.0375</v>
      </c>
    </row>
    <row r="7" customFormat="false" ht="15" hidden="false" customHeight="false" outlineLevel="0" collapsed="false">
      <c r="A7" s="5" t="s">
        <v>73</v>
      </c>
      <c r="B7" s="12" t="n">
        <f aca="false">('Format Specs'!B7/1000)*'Unit Prices'!$C$16</f>
        <v>0.2805</v>
      </c>
      <c r="C7" s="12" t="n">
        <f aca="false">('Format Specs'!C7/1000)*'Unit Prices'!$C$16</f>
        <v>6.93</v>
      </c>
      <c r="D7" s="12" t="n">
        <f aca="false">('Format Specs'!D7/1000)*'Unit Prices'!$C$16</f>
        <v>13.86</v>
      </c>
    </row>
    <row r="8" customFormat="false" ht="15" hidden="false" customHeight="false" outlineLevel="0" collapsed="false">
      <c r="A8" s="5" t="s">
        <v>74</v>
      </c>
      <c r="B8" s="12" t="n">
        <f aca="false">'Format Specs'!B14*'Unit Prices'!$C$18</f>
        <v>13.95</v>
      </c>
      <c r="C8" s="12" t="n">
        <f aca="false">'Format Specs'!C14*'Unit Prices'!$C$18</f>
        <v>334.8</v>
      </c>
      <c r="D8" s="12" t="n">
        <f aca="false">'Format Specs'!D14*'Unit Prices'!$C$18</f>
        <v>669.6</v>
      </c>
    </row>
    <row r="9" customFormat="false" ht="15" hidden="false" customHeight="false" outlineLevel="0" collapsed="false">
      <c r="A9" s="5" t="s">
        <v>75</v>
      </c>
      <c r="B9" s="13" t="n">
        <f aca="false">'Format Specs'!B14*'Unit Prices'!$C$19</f>
        <v>4.05</v>
      </c>
      <c r="C9" s="13" t="n">
        <f aca="false">'Format Specs'!C14*'Unit Prices'!$C$19</f>
        <v>97.2</v>
      </c>
      <c r="D9" s="13" t="n">
        <f aca="false">'Format Specs'!D14*'Unit Prices'!$C$19</f>
        <v>194.4</v>
      </c>
    </row>
    <row r="10" customFormat="false" ht="15" hidden="false" customHeight="false" outlineLevel="0" collapsed="false">
      <c r="A10" s="5" t="s">
        <v>76</v>
      </c>
      <c r="B10" s="12" t="n">
        <f aca="false">'Format Specs'!B15*'Unit Prices'!$C$22</f>
        <v>0.25</v>
      </c>
      <c r="C10" s="12" t="n">
        <f aca="false">'Format Specs'!C15*'Unit Prices'!$C$22</f>
        <v>1</v>
      </c>
      <c r="D10" s="12" t="n">
        <f aca="false">'Format Specs'!D15*'Unit Prices'!$C$22</f>
        <v>2</v>
      </c>
    </row>
    <row r="11" customFormat="false" ht="15" hidden="false" customHeight="false" outlineLevel="0" collapsed="false">
      <c r="A11" s="5" t="s">
        <v>77</v>
      </c>
      <c r="B11" s="12" t="n">
        <f aca="false">'Format Specs'!B16*'Unit Prices'!$C$24</f>
        <v>0.125</v>
      </c>
      <c r="C11" s="12" t="n">
        <f aca="false">'Format Specs'!C16*'Unit Prices'!$C$24</f>
        <v>3</v>
      </c>
      <c r="D11" s="12" t="n">
        <f aca="false">'Format Specs'!D16*'Unit Prices'!$C$24</f>
        <v>6</v>
      </c>
    </row>
    <row r="12" customFormat="false" ht="15" hidden="false" customHeight="false" outlineLevel="0" collapsed="false">
      <c r="A12" s="5" t="s">
        <v>78</v>
      </c>
      <c r="B12" s="12" t="n">
        <f aca="false">'Format Specs'!B17*'Unit Prices'!$C$25</f>
        <v>0.00075</v>
      </c>
      <c r="C12" s="12" t="n">
        <f aca="false">'Format Specs'!C17*'Unit Prices'!$C$25</f>
        <v>0.0075</v>
      </c>
      <c r="D12" s="12" t="n">
        <f aca="false">'Format Specs'!D17*'Unit Prices'!$C$25</f>
        <v>0.015</v>
      </c>
    </row>
    <row r="14" customFormat="false" ht="15" hidden="false" customHeight="false" outlineLevel="0" collapsed="false">
      <c r="A14" s="7" t="s">
        <v>79</v>
      </c>
      <c r="B14" s="14" t="n">
        <f aca="false">SUM(B5:B8)+SUM(B10:B12)</f>
        <v>14.62425</v>
      </c>
      <c r="C14" s="14" t="n">
        <f aca="false">SUM(C5:C8)+SUM(C10:C12)</f>
        <v>345.8185</v>
      </c>
      <c r="D14" s="14" t="n">
        <f aca="false">SUM(D5:D8)+SUM(D10:D12)</f>
        <v>691.6325</v>
      </c>
    </row>
    <row r="15" customFormat="false" ht="15" hidden="false" customHeight="false" outlineLevel="0" collapsed="false">
      <c r="A15" s="7" t="s">
        <v>80</v>
      </c>
      <c r="B15" s="14" t="n">
        <f aca="false">SUM(B5:B7)+B9+SUM(B10:B12)</f>
        <v>4.72425</v>
      </c>
      <c r="C15" s="14" t="n">
        <f aca="false">SUM(C5:C7)+C9+SUM(C10:C12)</f>
        <v>108.2185</v>
      </c>
      <c r="D15" s="14" t="n">
        <f aca="false">SUM(D5:D7)+D9+SUM(D10:D12)</f>
        <v>216.4325</v>
      </c>
    </row>
    <row r="17" customFormat="false" ht="15" hidden="false" customHeight="false" outlineLevel="0" collapsed="false">
      <c r="A17" s="7" t="s">
        <v>81</v>
      </c>
      <c r="B17" s="12" t="n">
        <f aca="false">B14/'Format Specs'!B5</f>
        <v>0.19499</v>
      </c>
      <c r="C17" s="12" t="n">
        <f aca="false">C14/'Format Specs'!C5</f>
        <v>0.192121388888889</v>
      </c>
      <c r="D17" s="12" t="n">
        <f aca="false">D14/'Format Specs'!D5</f>
        <v>0.192120138888889</v>
      </c>
    </row>
    <row r="18" customFormat="false" ht="15" hidden="false" customHeight="false" outlineLevel="0" collapsed="false">
      <c r="A18" s="7" t="s">
        <v>82</v>
      </c>
      <c r="B18" s="12" t="n">
        <f aca="false">B14/('Format Specs'!B5/60)</f>
        <v>11.6994</v>
      </c>
      <c r="C18" s="12" t="n">
        <f aca="false">C14/('Format Specs'!C5/60)</f>
        <v>11.5272833333333</v>
      </c>
      <c r="D18" s="12" t="n">
        <f aca="false">D14/('Format Specs'!D5/60)</f>
        <v>11.5272083333333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9"/>
  </cols>
  <sheetData>
    <row r="1" customFormat="false" ht="17.3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26.85" hidden="false" customHeight="false" outlineLevel="0" collapsed="false">
      <c r="A4" s="4" t="s">
        <v>85</v>
      </c>
      <c r="B4" s="4" t="s">
        <v>86</v>
      </c>
      <c r="C4" s="4" t="s">
        <v>87</v>
      </c>
      <c r="D4" s="4" t="s">
        <v>88</v>
      </c>
      <c r="E4" s="4" t="s">
        <v>89</v>
      </c>
      <c r="F4" s="4" t="s">
        <v>90</v>
      </c>
    </row>
    <row r="5" customFormat="false" ht="15" hidden="false" customHeight="false" outlineLevel="0" collapsed="false">
      <c r="A5" s="5" t="s">
        <v>91</v>
      </c>
      <c r="B5" s="8" t="n">
        <v>30</v>
      </c>
      <c r="C5" s="8" t="n">
        <v>0</v>
      </c>
      <c r="D5" s="8" t="n">
        <v>0</v>
      </c>
      <c r="E5" s="15" t="n">
        <f aca="false">B5*'Cost Model'!$B$14+C5*'Cost Model'!$C$14+D5*'Cost Model'!$D$14</f>
        <v>438.7275</v>
      </c>
      <c r="F5" s="15" t="n">
        <f aca="false">B5*'Cost Model'!$B$15+C5*'Cost Model'!$C$15+D5*'Cost Model'!$D$15</f>
        <v>141.7275</v>
      </c>
    </row>
    <row r="6" customFormat="false" ht="15" hidden="false" customHeight="false" outlineLevel="0" collapsed="false">
      <c r="A6" s="5" t="s">
        <v>92</v>
      </c>
      <c r="B6" s="8" t="n">
        <v>4</v>
      </c>
      <c r="C6" s="8" t="n">
        <v>0</v>
      </c>
      <c r="D6" s="8" t="n">
        <v>0</v>
      </c>
      <c r="E6" s="15" t="n">
        <f aca="false">B6*'Cost Model'!$B$14+C6*'Cost Model'!$C$14+D6*'Cost Model'!$D$14</f>
        <v>58.497</v>
      </c>
      <c r="F6" s="15" t="n">
        <f aca="false">B6*'Cost Model'!$B$15+C6*'Cost Model'!$C$15+D6*'Cost Model'!$D$15</f>
        <v>18.897</v>
      </c>
    </row>
    <row r="7" customFormat="false" ht="15" hidden="false" customHeight="false" outlineLevel="0" collapsed="false">
      <c r="A7" s="5" t="s">
        <v>93</v>
      </c>
      <c r="B7" s="8" t="n">
        <v>0</v>
      </c>
      <c r="C7" s="8" t="n">
        <v>2</v>
      </c>
      <c r="D7" s="8" t="n">
        <v>0</v>
      </c>
      <c r="E7" s="15" t="n">
        <f aca="false">B7*'Cost Model'!$B$14+C7*'Cost Model'!$C$14+D7*'Cost Model'!$D$14</f>
        <v>691.637</v>
      </c>
      <c r="F7" s="15" t="n">
        <f aca="false">B7*'Cost Model'!$B$15+C7*'Cost Model'!$C$15+D7*'Cost Model'!$D$15</f>
        <v>216.437</v>
      </c>
    </row>
    <row r="8" customFormat="false" ht="15" hidden="false" customHeight="false" outlineLevel="0" collapsed="false">
      <c r="A8" s="5" t="s">
        <v>94</v>
      </c>
      <c r="B8" s="8" t="n">
        <v>0</v>
      </c>
      <c r="C8" s="8" t="n">
        <v>0</v>
      </c>
      <c r="D8" s="8" t="n">
        <v>1</v>
      </c>
      <c r="E8" s="15" t="n">
        <f aca="false">B8*'Cost Model'!$B$14+C8*'Cost Model'!$C$14+D8*'Cost Model'!$D$14</f>
        <v>691.6325</v>
      </c>
      <c r="F8" s="15" t="n">
        <f aca="false">B8*'Cost Model'!$B$15+C8*'Cost Model'!$C$15+D8*'Cost Model'!$D$15</f>
        <v>216.4325</v>
      </c>
    </row>
    <row r="9" customFormat="false" ht="15" hidden="false" customHeight="false" outlineLevel="0" collapsed="false">
      <c r="A9" s="5" t="s">
        <v>95</v>
      </c>
      <c r="B9" s="8" t="n">
        <v>30</v>
      </c>
      <c r="C9" s="8" t="n">
        <v>2</v>
      </c>
      <c r="D9" s="8" t="n">
        <v>1</v>
      </c>
      <c r="E9" s="15" t="n">
        <f aca="false">B9*'Cost Model'!$B$14+C9*'Cost Model'!$C$14+D9*'Cost Model'!$D$14</f>
        <v>1821.997</v>
      </c>
      <c r="F9" s="15" t="n">
        <f aca="false">B9*'Cost Model'!$B$15+C9*'Cost Model'!$C$15+D9*'Cost Model'!$D$15</f>
        <v>574.597</v>
      </c>
    </row>
    <row r="10" customFormat="false" ht="15" hidden="false" customHeight="false" outlineLevel="0" collapsed="false">
      <c r="A10" s="5" t="s">
        <v>96</v>
      </c>
      <c r="B10" s="8" t="n">
        <v>30</v>
      </c>
      <c r="C10" s="8" t="n">
        <v>4</v>
      </c>
      <c r="D10" s="8" t="n">
        <v>0</v>
      </c>
      <c r="E10" s="15" t="n">
        <f aca="false">B10*'Cost Model'!$B$14+C10*'Cost Model'!$C$14+D10*'Cost Model'!$D$14</f>
        <v>1822.0015</v>
      </c>
      <c r="F10" s="15" t="n">
        <f aca="false">B10*'Cost Model'!$B$15+C10*'Cost Model'!$C$15+D10*'Cost Model'!$D$15</f>
        <v>574.6015</v>
      </c>
    </row>
    <row r="11" customFormat="false" ht="15" hidden="false" customHeight="false" outlineLevel="0" collapsed="false">
      <c r="A11" s="5" t="s">
        <v>97</v>
      </c>
      <c r="B11" s="8" t="n">
        <v>0</v>
      </c>
      <c r="C11" s="8" t="n">
        <v>0</v>
      </c>
      <c r="D11" s="8" t="n">
        <v>0</v>
      </c>
      <c r="E11" s="15" t="n">
        <f aca="false">B11*'Cost Model'!$B$14+C11*'Cost Model'!$C$14+D11*'Cost Model'!$D$14</f>
        <v>0</v>
      </c>
      <c r="F11" s="15" t="n">
        <f aca="false">B11*'Cost Model'!$B$15+C11*'Cost Model'!$C$15+D11*'Cost Model'!$D$15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98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5" t="s">
        <v>99</v>
      </c>
    </row>
    <row r="4" customFormat="false" ht="15" hidden="false" customHeight="false" outlineLevel="0" collapsed="false">
      <c r="A4" s="5" t="s">
        <v>100</v>
      </c>
    </row>
    <row r="5" customFormat="false" ht="15" hidden="false" customHeight="false" outlineLevel="0" collapsed="false">
      <c r="A5" s="5" t="s">
        <v>101</v>
      </c>
    </row>
    <row r="6" customFormat="false" ht="15" hidden="false" customHeight="false" outlineLevel="0" collapsed="false">
      <c r="A6" s="5" t="s">
        <v>102</v>
      </c>
    </row>
    <row r="7" customFormat="false" ht="15" hidden="false" customHeight="false" outlineLevel="0" collapsed="false">
      <c r="A7" s="5" t="s">
        <v>103</v>
      </c>
    </row>
    <row r="8" customFormat="false" ht="15" hidden="false" customHeight="false" outlineLevel="0" collapsed="false">
      <c r="A8" s="5"/>
    </row>
    <row r="9" customFormat="false" ht="15" hidden="false" customHeight="false" outlineLevel="0" collapsed="false">
      <c r="A9" s="5" t="s">
        <v>104</v>
      </c>
    </row>
    <row r="10" customFormat="false" ht="15" hidden="false" customHeight="false" outlineLevel="0" collapsed="false">
      <c r="A10" s="5" t="s">
        <v>105</v>
      </c>
    </row>
    <row r="11" customFormat="false" ht="15" hidden="false" customHeight="false" outlineLevel="0" collapsed="false">
      <c r="A11" s="5" t="s">
        <v>106</v>
      </c>
    </row>
    <row r="12" customFormat="false" ht="15" hidden="false" customHeight="false" outlineLevel="0" collapsed="false">
      <c r="A12" s="5" t="s">
        <v>107</v>
      </c>
    </row>
    <row r="13" customFormat="false" ht="15" hidden="false" customHeight="false" outlineLevel="0" collapsed="false">
      <c r="A13" s="5"/>
    </row>
    <row r="14" customFormat="false" ht="15" hidden="false" customHeight="false" outlineLevel="0" collapsed="false">
      <c r="A14" s="5" t="s">
        <v>108</v>
      </c>
    </row>
    <row r="15" customFormat="false" ht="15" hidden="false" customHeight="false" outlineLevel="0" collapsed="false">
      <c r="A15" s="5" t="s">
        <v>109</v>
      </c>
    </row>
    <row r="16" customFormat="false" ht="15" hidden="false" customHeight="false" outlineLevel="0" collapsed="false">
      <c r="A16" s="5" t="s">
        <v>110</v>
      </c>
    </row>
    <row r="17" customFormat="false" ht="15" hidden="false" customHeight="false" outlineLevel="0" collapsed="false">
      <c r="A17" s="5" t="s">
        <v>111</v>
      </c>
    </row>
    <row r="18" customFormat="false" ht="15" hidden="false" customHeight="false" outlineLevel="0" collapsed="false">
      <c r="A18" s="5" t="s">
        <v>112</v>
      </c>
    </row>
    <row r="19" customFormat="false" ht="15" hidden="false" customHeight="false" outlineLevel="0" collapsed="false">
      <c r="A19" s="5" t="s">
        <v>113</v>
      </c>
    </row>
    <row r="20" customFormat="false" ht="15" hidden="false" customHeight="false" outlineLevel="0" collapsed="false">
      <c r="A20" s="5" t="s">
        <v>114</v>
      </c>
    </row>
    <row r="21" customFormat="false" ht="15" hidden="false" customHeight="false" outlineLevel="0" collapsed="false">
      <c r="A21" s="5" t="s">
        <v>115</v>
      </c>
    </row>
    <row r="22" customFormat="false" ht="15" hidden="false" customHeight="false" outlineLevel="0" collapsed="false">
      <c r="A22" s="5" t="s">
        <v>116</v>
      </c>
    </row>
    <row r="23" customFormat="false" ht="15" hidden="false" customHeight="false" outlineLevel="0" collapsed="false">
      <c r="A23" s="5"/>
    </row>
    <row r="24" customFormat="false" ht="15" hidden="false" customHeight="false" outlineLevel="0" collapsed="false">
      <c r="A24" s="5" t="s">
        <v>117</v>
      </c>
    </row>
    <row r="25" customFormat="false" ht="15" hidden="false" customHeight="false" outlineLevel="0" collapsed="false">
      <c r="A25" s="5" t="s">
        <v>118</v>
      </c>
    </row>
    <row r="26" customFormat="false" ht="15" hidden="false" customHeight="false" outlineLevel="0" collapsed="false">
      <c r="A26" s="5" t="s">
        <v>119</v>
      </c>
    </row>
    <row r="27" customFormat="false" ht="15" hidden="false" customHeight="false" outlineLevel="0" collapsed="false">
      <c r="A27" s="5" t="s">
        <v>120</v>
      </c>
    </row>
    <row r="28" customFormat="false" ht="15" hidden="false" customHeight="false" outlineLevel="0" collapsed="false">
      <c r="A28" s="5" t="s">
        <v>121</v>
      </c>
    </row>
    <row r="29" customFormat="false" ht="15" hidden="false" customHeight="false" outlineLevel="0" collapsed="false">
      <c r="A29" s="5" t="s">
        <v>122</v>
      </c>
    </row>
    <row r="30" customFormat="false" ht="15" hidden="false" customHeight="false" outlineLevel="0" collapsed="false">
      <c r="A30" s="5" t="s">
        <v>123</v>
      </c>
    </row>
    <row r="31" customFormat="false" ht="15" hidden="false" customHeight="false" outlineLevel="0" collapsed="false">
      <c r="A31" s="5"/>
    </row>
    <row r="32" customFormat="false" ht="15" hidden="false" customHeight="false" outlineLevel="0" collapsed="false">
      <c r="A32" s="5" t="s">
        <v>124</v>
      </c>
    </row>
    <row r="33" customFormat="false" ht="15" hidden="false" customHeight="false" outlineLevel="0" collapsed="false">
      <c r="A33" s="5" t="s">
        <v>125</v>
      </c>
    </row>
    <row r="34" customFormat="false" ht="15" hidden="false" customHeight="false" outlineLevel="0" collapsed="false">
      <c r="A34" s="5" t="s">
        <v>126</v>
      </c>
    </row>
    <row r="35" customFormat="false" ht="15" hidden="false" customHeight="false" outlineLevel="0" collapsed="false">
      <c r="A35" s="5" t="s">
        <v>127</v>
      </c>
    </row>
    <row r="36" customFormat="false" ht="15" hidden="false" customHeight="false" outlineLevel="0" collapsed="false">
      <c r="A36" s="5"/>
    </row>
    <row r="37" customFormat="false" ht="15" hidden="false" customHeight="false" outlineLevel="0" collapsed="false">
      <c r="A37" s="5" t="s">
        <v>128</v>
      </c>
    </row>
    <row r="38" customFormat="false" ht="15" hidden="false" customHeight="false" outlineLevel="0" collapsed="false">
      <c r="A38" s="5" t="s">
        <v>129</v>
      </c>
    </row>
    <row r="39" customFormat="false" ht="15" hidden="false" customHeight="false" outlineLevel="0" collapsed="false">
      <c r="A39" s="5" t="s">
        <v>130</v>
      </c>
    </row>
    <row r="40" customFormat="false" ht="15" hidden="false" customHeight="false" outlineLevel="0" collapsed="false">
      <c r="A40" s="5" t="s">
        <v>131</v>
      </c>
    </row>
    <row r="41" customFormat="false" ht="15" hidden="false" customHeight="false" outlineLevel="0" collapsed="false">
      <c r="A41" s="5"/>
    </row>
    <row r="42" customFormat="false" ht="15" hidden="false" customHeight="false" outlineLevel="0" collapsed="false">
      <c r="A42" s="5" t="s">
        <v>132</v>
      </c>
    </row>
    <row r="43" customFormat="false" ht="15" hidden="false" customHeight="false" outlineLevel="0" collapsed="false">
      <c r="A43" s="5" t="s">
        <v>133</v>
      </c>
    </row>
    <row r="44" customFormat="false" ht="15" hidden="false" customHeight="false" outlineLevel="0" collapsed="false">
      <c r="A44" s="5" t="s">
        <v>134</v>
      </c>
    </row>
    <row r="45" customFormat="false" ht="15" hidden="false" customHeight="false" outlineLevel="0" collapsed="false">
      <c r="A45" s="5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2026-05-13T05:28:30Z</dcterms:created>
  <dc:creator>openpyxl</dc:creator>
  <dc:description/>
  <dc:language>en-US</dc:language>
  <cp:lastModifiedBy/>
  <dcterms:modified xsi:type="dcterms:W3CDTF">2026-05-13T05:28:31Z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